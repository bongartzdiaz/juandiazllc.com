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ice Book" sheetId="2" state="visible" r:id="rId2"/>
    <sheet xmlns:r="http://schemas.openxmlformats.org/officeDocument/2006/relationships" name="TCO Calculator" sheetId="3" state="visible" r:id="rId3"/>
    <sheet xmlns:r="http://schemas.openxmlformats.org/officeDocument/2006/relationships" name="Tier Features" sheetId="4" state="visible" r:id="rId4"/>
    <sheet xmlns:r="http://schemas.openxmlformats.org/officeDocument/2006/relationships" name="Add-ons" sheetId="5" state="visible" r:id="rId5"/>
    <sheet xmlns:r="http://schemas.openxmlformats.org/officeDocument/2006/relationships" name="Discount Math" sheetId="6" state="visible" r:id="rId6"/>
    <sheet xmlns:r="http://schemas.openxmlformats.org/officeDocument/2006/relationships" name="Commitment Curve" sheetId="7" state="visible" r:id="rId7"/>
    <sheet xmlns:r="http://schemas.openxmlformats.org/officeDocument/2006/relationships" name="Coupons" sheetId="8" state="visible" r:id="rId8"/>
    <sheet xmlns:r="http://schemas.openxmlformats.org/officeDocument/2006/relationships" name="Stripe Mapping" sheetId="9" state="visible" r:id="rId9"/>
    <sheet xmlns:r="http://schemas.openxmlformats.org/officeDocument/2006/relationships" name="Terms" sheetId="10" state="visible" r:id="rId10"/>
  </sheets>
  <definedNames>
    <definedName name="_xlnm._FilterDatabase" localSheetId="1" hidden="1">'Price Book'!$A$4:$I$17</definedName>
    <definedName name="_xlnm._FilterDatabase" localSheetId="2" hidden="1">'TCO Calculator'!$A$4:$J$16</definedName>
    <definedName name="_xlnm._FilterDatabase" localSheetId="8" hidden="1">'Stripe Mapping'!$A$4:$H$17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€&quot;#,##0.00"/>
  </numFmts>
  <fonts count="10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3A5F"/>
      <sz val="20"/>
    </font>
    <font>
      <name val="Arial"/>
      <i val="1"/>
      <color rgb="00666666"/>
      <sz val="12"/>
    </font>
    <font>
      <name val="Arial"/>
      <b val="1"/>
      <color rgb="001F3A5F"/>
      <sz val="12"/>
    </font>
    <font>
      <name val="Arial"/>
      <b val="1"/>
      <color rgb="001F3A5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DEUS Pricing Workbook</t>
        </is>
      </c>
    </row>
    <row r="2">
      <c r="A2" s="2" t="inlineStr">
        <is>
          <t>Real Estate CRM and Dashboard</t>
        </is>
      </c>
    </row>
    <row r="4">
      <c r="A4" s="3" t="inlineStr">
        <is>
          <t>Version: 1.0</t>
        </is>
      </c>
    </row>
    <row r="5">
      <c r="A5" s="3" t="inlineStr">
        <is>
          <t>Last updated: 2026-05-14</t>
        </is>
      </c>
    </row>
    <row r="6">
      <c r="A6" s="3" t="inlineStr">
        <is>
          <t>Currency: EUR (excluding VAT)</t>
        </is>
      </c>
    </row>
    <row r="7">
      <c r="A7" s="3" t="inlineStr">
        <is>
          <t>Owner: juandiazllc.com</t>
        </is>
      </c>
    </row>
    <row r="9">
      <c r="A9" s="4" t="inlineStr">
        <is>
          <t>Workbook Contents</t>
        </is>
      </c>
    </row>
    <row r="10">
      <c r="A10" s="5" t="inlineStr">
        <is>
          <t>Tab</t>
        </is>
      </c>
      <c r="B10" s="5" t="inlineStr">
        <is>
          <t>Description</t>
        </is>
      </c>
    </row>
    <row r="11">
      <c r="A11" s="6" t="inlineStr">
        <is>
          <t>Price Book</t>
        </is>
      </c>
      <c r="B11" s="7" t="inlineStr">
        <is>
          <t>Master pricing matrix: 13 tier x commitment rows.</t>
        </is>
      </c>
    </row>
    <row r="12">
      <c r="A12" s="6" t="inlineStr">
        <is>
          <t>TCO Calculator</t>
        </is>
      </c>
      <c r="B12" s="7" t="inlineStr">
        <is>
          <t>Twelve team-size scenarios with savings calculations.</t>
        </is>
      </c>
    </row>
    <row r="13">
      <c r="A13" s="6" t="inlineStr">
        <is>
          <t>Tier Features</t>
        </is>
      </c>
      <c r="B13" s="7" t="inlineStr">
        <is>
          <t>22-feature comparison across all four tiers.</t>
        </is>
      </c>
    </row>
    <row r="14">
      <c r="A14" s="6" t="inlineStr">
        <is>
          <t>Add-ons</t>
        </is>
      </c>
      <c r="B14" s="7" t="inlineStr">
        <is>
          <t>Seven additional product offerings and usage fees.</t>
        </is>
      </c>
    </row>
    <row r="15">
      <c r="A15" s="6" t="inlineStr">
        <is>
          <t>Discount Math</t>
        </is>
      </c>
      <c r="B15" s="7" t="inlineStr">
        <is>
          <t>Annual savings calculations at minimum seat counts.</t>
        </is>
      </c>
    </row>
    <row r="16">
      <c r="A16" s="6" t="inlineStr">
        <is>
          <t>Commitment Curve</t>
        </is>
      </c>
      <c r="B16" s="7" t="inlineStr">
        <is>
          <t>Discount ladder: 0 / 10 / 18 / 30 percent.</t>
        </is>
      </c>
    </row>
    <row r="17">
      <c r="A17" s="6" t="inlineStr">
        <is>
          <t>Coupons</t>
        </is>
      </c>
      <c r="B17" s="7" t="inlineStr">
        <is>
          <t>Active discount codes and validity windows.</t>
        </is>
      </c>
    </row>
    <row r="18">
      <c r="A18" s="6" t="inlineStr">
        <is>
          <t>Stripe Mapping</t>
        </is>
      </c>
      <c r="B18" s="7" t="inlineStr">
        <is>
          <t>Price IDs, intervals, trial periods for Stripe setup.</t>
        </is>
      </c>
    </row>
    <row r="19">
      <c r="A19" s="6" t="inlineStr">
        <is>
          <t>Terms</t>
        </is>
      </c>
      <c r="B19" s="7" t="inlineStr">
        <is>
          <t>Commercial terms: refunds, SLA, VAT, cancellation.</t>
        </is>
      </c>
    </row>
    <row r="21">
      <c r="A21" s="8" t="inlineStr">
        <is>
          <t>Notes</t>
        </is>
      </c>
    </row>
    <row r="22">
      <c r="A22" s="9" t="inlineStr">
        <is>
          <t>All amounts in EUR excluding VAT.</t>
        </is>
      </c>
    </row>
    <row r="23">
      <c r="A23" s="9" t="inlineStr">
        <is>
          <t>Annual prices are billed upfront for the full 12-month term.</t>
        </is>
      </c>
    </row>
    <row r="24">
      <c r="A24" s="9" t="inlineStr">
        <is>
          <t>Stripe Price IDs are placeholders; replace with live IDs after creation.</t>
        </is>
      </c>
    </row>
    <row r="25">
      <c r="A25" s="9" t="inlineStr">
        <is>
          <t>This workbook is the single source of truth for pricing; the JSON config file mirrors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3" customWidth="1" min="4" max="4"/>
    <col width="20" customWidth="1" min="5" max="5"/>
    <col width="12" customWidth="1" min="6" max="6"/>
    <col width="18" customWidth="1" min="7" max="7"/>
    <col width="22" customWidth="1" min="8" max="8"/>
    <col width="32" customWidth="1" min="9" max="9"/>
  </cols>
  <sheetData>
    <row r="1" ht="22" customHeight="1">
      <c r="A1" s="10" t="inlineStr">
        <is>
          <t>DEUS Price Book</t>
        </is>
      </c>
    </row>
    <row r="2">
      <c r="A2" s="9" t="inlineStr">
        <is>
          <t>All amounts in EUR, excluding VAT. Annual prices billed upfront.</t>
        </is>
      </c>
    </row>
    <row r="4">
      <c r="A4" s="5" t="inlineStr">
        <is>
          <t>Tier</t>
        </is>
      </c>
      <c r="B4" s="5" t="inlineStr">
        <is>
          <t>Seat Count Min</t>
        </is>
      </c>
      <c r="C4" s="5" t="inlineStr">
        <is>
          <t>Commitment</t>
        </is>
      </c>
      <c r="D4" s="5" t="inlineStr">
        <is>
          <t>Term Months</t>
        </is>
      </c>
      <c r="E4" s="5" t="inlineStr">
        <is>
          <t>Monthly Equivalent</t>
        </is>
      </c>
      <c r="F4" s="5" t="inlineStr">
        <is>
          <t>Discount %</t>
        </is>
      </c>
      <c r="G4" s="5" t="inlineStr">
        <is>
          <t>Billed Per Seat</t>
        </is>
      </c>
      <c r="H4" s="5" t="inlineStr">
        <is>
          <t>Annual Cost Per Seat</t>
        </is>
      </c>
      <c r="I4" s="5" t="inlineStr">
        <is>
          <t>Stripe Price ID</t>
        </is>
      </c>
    </row>
    <row r="5">
      <c r="A5" s="7" t="inlineStr">
        <is>
          <t>Operator</t>
        </is>
      </c>
      <c r="B5" s="11" t="n">
        <v>1</v>
      </c>
      <c r="C5" s="7" t="inlineStr">
        <is>
          <t>Monthly</t>
        </is>
      </c>
      <c r="D5" s="11" t="n">
        <v>1</v>
      </c>
      <c r="E5" s="12" t="n">
        <v>40</v>
      </c>
      <c r="F5" s="13" t="n">
        <v>0</v>
      </c>
      <c r="G5" s="12" t="n">
        <v>40</v>
      </c>
      <c r="H5" s="12" t="n">
        <v>480</v>
      </c>
      <c r="I5" s="7" t="inlineStr">
        <is>
          <t>price_operator_monthly</t>
        </is>
      </c>
    </row>
    <row r="6">
      <c r="A6" s="7" t="inlineStr">
        <is>
          <t>Operator</t>
        </is>
      </c>
      <c r="B6" s="11" t="n">
        <v>1</v>
      </c>
      <c r="C6" s="7" t="inlineStr">
        <is>
          <t>Quarterly</t>
        </is>
      </c>
      <c r="D6" s="11" t="n">
        <v>3</v>
      </c>
      <c r="E6" s="12" t="n">
        <v>36</v>
      </c>
      <c r="F6" s="13" t="n">
        <v>0.1</v>
      </c>
      <c r="G6" s="12" t="n">
        <v>108</v>
      </c>
      <c r="H6" s="12" t="n">
        <v>432</v>
      </c>
      <c r="I6" s="7" t="inlineStr">
        <is>
          <t>price_operator_quarterly</t>
        </is>
      </c>
    </row>
    <row r="7">
      <c r="A7" s="7" t="inlineStr">
        <is>
          <t>Operator</t>
        </is>
      </c>
      <c r="B7" s="11" t="n">
        <v>1</v>
      </c>
      <c r="C7" s="7" t="inlineStr">
        <is>
          <t>Semi-Annual</t>
        </is>
      </c>
      <c r="D7" s="11" t="n">
        <v>6</v>
      </c>
      <c r="E7" s="12" t="n">
        <v>32.8</v>
      </c>
      <c r="F7" s="13" t="n">
        <v>0.18</v>
      </c>
      <c r="G7" s="12" t="n">
        <v>196.8</v>
      </c>
      <c r="H7" s="12" t="n">
        <v>393.6</v>
      </c>
      <c r="I7" s="7" t="inlineStr">
        <is>
          <t>price_operator_semiannual</t>
        </is>
      </c>
    </row>
    <row r="8">
      <c r="A8" s="7" t="inlineStr">
        <is>
          <t>Operator</t>
        </is>
      </c>
      <c r="B8" s="11" t="n">
        <v>1</v>
      </c>
      <c r="C8" s="7" t="inlineStr">
        <is>
          <t>Annual</t>
        </is>
      </c>
      <c r="D8" s="11" t="n">
        <v>12</v>
      </c>
      <c r="E8" s="12" t="n">
        <v>28</v>
      </c>
      <c r="F8" s="13" t="n">
        <v>0.3</v>
      </c>
      <c r="G8" s="12" t="n">
        <v>336</v>
      </c>
      <c r="H8" s="12" t="n">
        <v>336</v>
      </c>
      <c r="I8" s="7" t="inlineStr">
        <is>
          <t>price_operator_annual</t>
        </is>
      </c>
    </row>
    <row r="9">
      <c r="A9" s="7" t="inlineStr">
        <is>
          <t>Team</t>
        </is>
      </c>
      <c r="B9" s="11" t="n">
        <v>3</v>
      </c>
      <c r="C9" s="7" t="inlineStr">
        <is>
          <t>Monthly</t>
        </is>
      </c>
      <c r="D9" s="11" t="n">
        <v>1</v>
      </c>
      <c r="E9" s="12" t="n">
        <v>70</v>
      </c>
      <c r="F9" s="13" t="n">
        <v>0</v>
      </c>
      <c r="G9" s="12" t="n">
        <v>70</v>
      </c>
      <c r="H9" s="12" t="n">
        <v>840</v>
      </c>
      <c r="I9" s="7" t="inlineStr">
        <is>
          <t>price_team_monthly</t>
        </is>
      </c>
    </row>
    <row r="10">
      <c r="A10" s="7" t="inlineStr">
        <is>
          <t>Team</t>
        </is>
      </c>
      <c r="B10" s="11" t="n">
        <v>3</v>
      </c>
      <c r="C10" s="7" t="inlineStr">
        <is>
          <t>Quarterly</t>
        </is>
      </c>
      <c r="D10" s="11" t="n">
        <v>3</v>
      </c>
      <c r="E10" s="12" t="n">
        <v>63</v>
      </c>
      <c r="F10" s="13" t="n">
        <v>0.1</v>
      </c>
      <c r="G10" s="12" t="n">
        <v>189</v>
      </c>
      <c r="H10" s="12" t="n">
        <v>756</v>
      </c>
      <c r="I10" s="7" t="inlineStr">
        <is>
          <t>price_team_quarterly</t>
        </is>
      </c>
    </row>
    <row r="11">
      <c r="A11" s="7" t="inlineStr">
        <is>
          <t>Team</t>
        </is>
      </c>
      <c r="B11" s="11" t="n">
        <v>3</v>
      </c>
      <c r="C11" s="7" t="inlineStr">
        <is>
          <t>Semi-Annual</t>
        </is>
      </c>
      <c r="D11" s="11" t="n">
        <v>6</v>
      </c>
      <c r="E11" s="12" t="n">
        <v>57.4</v>
      </c>
      <c r="F11" s="13" t="n">
        <v>0.18</v>
      </c>
      <c r="G11" s="12" t="n">
        <v>344.4</v>
      </c>
      <c r="H11" s="12" t="n">
        <v>688.8</v>
      </c>
      <c r="I11" s="7" t="inlineStr">
        <is>
          <t>price_team_semiannual</t>
        </is>
      </c>
    </row>
    <row r="12">
      <c r="A12" s="7" t="inlineStr">
        <is>
          <t>Team</t>
        </is>
      </c>
      <c r="B12" s="11" t="n">
        <v>3</v>
      </c>
      <c r="C12" s="7" t="inlineStr">
        <is>
          <t>Annual</t>
        </is>
      </c>
      <c r="D12" s="11" t="n">
        <v>12</v>
      </c>
      <c r="E12" s="12" t="n">
        <v>49</v>
      </c>
      <c r="F12" s="13" t="n">
        <v>0.3</v>
      </c>
      <c r="G12" s="12" t="n">
        <v>588</v>
      </c>
      <c r="H12" s="12" t="n">
        <v>588</v>
      </c>
      <c r="I12" s="7" t="inlineStr">
        <is>
          <t>price_team_annual</t>
        </is>
      </c>
    </row>
    <row r="13">
      <c r="A13" s="7" t="inlineStr">
        <is>
          <t>Business</t>
        </is>
      </c>
      <c r="B13" s="11" t="n">
        <v>10</v>
      </c>
      <c r="C13" s="7" t="inlineStr">
        <is>
          <t>Monthly</t>
        </is>
      </c>
      <c r="D13" s="11" t="n">
        <v>1</v>
      </c>
      <c r="E13" s="12" t="n">
        <v>110</v>
      </c>
      <c r="F13" s="13" t="n">
        <v>0</v>
      </c>
      <c r="G13" s="12" t="n">
        <v>110</v>
      </c>
      <c r="H13" s="12" t="n">
        <v>1320</v>
      </c>
      <c r="I13" s="7" t="inlineStr">
        <is>
          <t>price_business_monthly</t>
        </is>
      </c>
    </row>
    <row r="14">
      <c r="A14" s="7" t="inlineStr">
        <is>
          <t>Business</t>
        </is>
      </c>
      <c r="B14" s="11" t="n">
        <v>10</v>
      </c>
      <c r="C14" s="7" t="inlineStr">
        <is>
          <t>Quarterly</t>
        </is>
      </c>
      <c r="D14" s="11" t="n">
        <v>3</v>
      </c>
      <c r="E14" s="12" t="n">
        <v>99</v>
      </c>
      <c r="F14" s="13" t="n">
        <v>0.1</v>
      </c>
      <c r="G14" s="12" t="n">
        <v>297</v>
      </c>
      <c r="H14" s="12" t="n">
        <v>1188</v>
      </c>
      <c r="I14" s="7" t="inlineStr">
        <is>
          <t>price_business_quarterly</t>
        </is>
      </c>
    </row>
    <row r="15">
      <c r="A15" s="7" t="inlineStr">
        <is>
          <t>Business</t>
        </is>
      </c>
      <c r="B15" s="11" t="n">
        <v>10</v>
      </c>
      <c r="C15" s="7" t="inlineStr">
        <is>
          <t>Semi-Annual</t>
        </is>
      </c>
      <c r="D15" s="11" t="n">
        <v>6</v>
      </c>
      <c r="E15" s="12" t="n">
        <v>90.2</v>
      </c>
      <c r="F15" s="13" t="n">
        <v>0.18</v>
      </c>
      <c r="G15" s="12" t="n">
        <v>541.2</v>
      </c>
      <c r="H15" s="12" t="n">
        <v>1082.4</v>
      </c>
      <c r="I15" s="7" t="inlineStr">
        <is>
          <t>price_business_semiannual</t>
        </is>
      </c>
    </row>
    <row r="16">
      <c r="A16" s="7" t="inlineStr">
        <is>
          <t>Business</t>
        </is>
      </c>
      <c r="B16" s="11" t="n">
        <v>10</v>
      </c>
      <c r="C16" s="7" t="inlineStr">
        <is>
          <t>Annual</t>
        </is>
      </c>
      <c r="D16" s="11" t="n">
        <v>12</v>
      </c>
      <c r="E16" s="12" t="n">
        <v>77</v>
      </c>
      <c r="F16" s="13" t="n">
        <v>0.3</v>
      </c>
      <c r="G16" s="12" t="n">
        <v>924</v>
      </c>
      <c r="H16" s="12" t="n">
        <v>924</v>
      </c>
      <c r="I16" s="7" t="inlineStr">
        <is>
          <t>price_business_annual</t>
        </is>
      </c>
    </row>
    <row r="17">
      <c r="A17" s="7" t="inlineStr">
        <is>
          <t>Enterprise</t>
        </is>
      </c>
      <c r="B17" s="11" t="n">
        <v>25</v>
      </c>
      <c r="C17" s="7" t="inlineStr">
        <is>
          <t>Custom Annual</t>
        </is>
      </c>
      <c r="D17" s="11" t="n">
        <v>12</v>
      </c>
      <c r="E17" s="14" t="inlineStr">
        <is>
          <t>Contact sales</t>
        </is>
      </c>
      <c r="F17" s="14" t="inlineStr">
        <is>
          <t>Custom</t>
        </is>
      </c>
      <c r="G17" s="14" t="inlineStr">
        <is>
          <t>Contact sales</t>
        </is>
      </c>
      <c r="H17" s="14" t="inlineStr">
        <is>
          <t>Contact sales</t>
        </is>
      </c>
      <c r="I17" s="7" t="inlineStr">
        <is>
          <t>price_enterprise_custom</t>
        </is>
      </c>
    </row>
  </sheetData>
  <autoFilter ref="A4:I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8" customWidth="1" min="3" max="3"/>
    <col width="14" customWidth="1" min="4" max="4"/>
    <col width="22" customWidth="1" min="5" max="5"/>
    <col width="22" customWidth="1" min="6" max="6"/>
    <col width="22" customWidth="1" min="7" max="7"/>
    <col width="26" customWidth="1" min="8" max="8"/>
    <col width="26" customWidth="1" min="9" max="9"/>
    <col width="50" customWidth="1" min="10" max="10"/>
  </cols>
  <sheetData>
    <row r="1" ht="22" customHeight="1">
      <c r="A1" s="10" t="inlineStr">
        <is>
          <t>TCO Scenarios by Team Size</t>
        </is>
      </c>
    </row>
    <row r="2">
      <c r="A2" s="9" t="inlineStr">
        <is>
          <t>Compare monthly vs annual commitment savings across common team sizes.</t>
        </is>
      </c>
    </row>
    <row r="4">
      <c r="A4" s="5" t="inlineStr">
        <is>
          <t>Scenario</t>
        </is>
      </c>
      <c r="B4" s="5" t="inlineStr">
        <is>
          <t>Team Size</t>
        </is>
      </c>
      <c r="C4" s="5" t="inlineStr">
        <is>
          <t>Recommended Tier</t>
        </is>
      </c>
      <c r="D4" s="5" t="inlineStr">
        <is>
          <t>Commitment</t>
        </is>
      </c>
      <c r="E4" s="5" t="inlineStr">
        <is>
          <t>Monthly Per Seat (EUR)</t>
        </is>
      </c>
      <c r="F4" s="5" t="inlineStr">
        <is>
          <t>Monthly Total (EUR)</t>
        </is>
      </c>
      <c r="G4" s="5" t="inlineStr">
        <is>
          <t>Annual Total (EUR)</t>
        </is>
      </c>
      <c r="H4" s="5" t="inlineStr">
        <is>
          <t>Monthly-Plan Annual (EUR)</t>
        </is>
      </c>
      <c r="I4" s="5" t="inlineStr">
        <is>
          <t>Savings vs Monthly (EUR)</t>
        </is>
      </c>
      <c r="J4" s="5" t="inlineStr">
        <is>
          <t>Notes</t>
        </is>
      </c>
    </row>
    <row r="5">
      <c r="A5" s="7" t="inlineStr">
        <is>
          <t>Solo agent testing</t>
        </is>
      </c>
      <c r="B5" s="11" t="n">
        <v>1</v>
      </c>
      <c r="C5" s="7" t="inlineStr">
        <is>
          <t>Operator</t>
        </is>
      </c>
      <c r="D5" s="11" t="inlineStr">
        <is>
          <t>Monthly</t>
        </is>
      </c>
      <c r="E5" s="12" t="n">
        <v>40</v>
      </c>
      <c r="F5" s="12">
        <f>B5*E5</f>
        <v/>
      </c>
      <c r="G5" s="12">
        <f>F5*12</f>
        <v/>
      </c>
      <c r="H5" s="12" t="n">
        <v>480</v>
      </c>
      <c r="I5" s="12">
        <f>H5-G5</f>
        <v/>
      </c>
      <c r="J5" s="7" t="inlineStr">
        <is>
          <t>Entry point. Convert to annual after 30 days of active use.</t>
        </is>
      </c>
    </row>
    <row r="6">
      <c r="A6" s="7" t="inlineStr">
        <is>
          <t>Solo agent committed</t>
        </is>
      </c>
      <c r="B6" s="11" t="n">
        <v>1</v>
      </c>
      <c r="C6" s="7" t="inlineStr">
        <is>
          <t>Operator</t>
        </is>
      </c>
      <c r="D6" s="11" t="inlineStr">
        <is>
          <t>Annual</t>
        </is>
      </c>
      <c r="E6" s="12" t="n">
        <v>28</v>
      </c>
      <c r="F6" s="12">
        <f>B6*E6</f>
        <v/>
      </c>
      <c r="G6" s="12">
        <f>F6*12</f>
        <v/>
      </c>
      <c r="H6" s="12" t="n">
        <v>480</v>
      </c>
      <c r="I6" s="12">
        <f>H6-G6</f>
        <v/>
      </c>
      <c r="J6" s="7" t="inlineStr">
        <is>
          <t>Anchor offer. Saves EUR 144/year.</t>
        </is>
      </c>
    </row>
    <row r="7">
      <c r="A7" s="7" t="inlineStr">
        <is>
          <t>2-agent partnership</t>
        </is>
      </c>
      <c r="B7" s="11" t="n">
        <v>2</v>
      </c>
      <c r="C7" s="7" t="inlineStr">
        <is>
          <t>Operator</t>
        </is>
      </c>
      <c r="D7" s="11" t="inlineStr">
        <is>
          <t>Annual</t>
        </is>
      </c>
      <c r="E7" s="12" t="n">
        <v>28</v>
      </c>
      <c r="F7" s="12">
        <f>B7*E7</f>
        <v/>
      </c>
      <c r="G7" s="12">
        <f>F7*12</f>
        <v/>
      </c>
      <c r="H7" s="12" t="n">
        <v>960</v>
      </c>
      <c r="I7" s="12">
        <f>H7-G7</f>
        <v/>
      </c>
      <c r="J7" s="7" t="inlineStr">
        <is>
          <t>Stay on Operator until 3rd hire.</t>
        </is>
      </c>
    </row>
    <row r="8">
      <c r="A8" s="7" t="inlineStr">
        <is>
          <t>3-agent micro-team</t>
        </is>
      </c>
      <c r="B8" s="11" t="n">
        <v>3</v>
      </c>
      <c r="C8" s="7" t="inlineStr">
        <is>
          <t>Team</t>
        </is>
      </c>
      <c r="D8" s="11" t="inlineStr">
        <is>
          <t>Monthly</t>
        </is>
      </c>
      <c r="E8" s="12" t="n">
        <v>70</v>
      </c>
      <c r="F8" s="12">
        <f>B8*E8</f>
        <v/>
      </c>
      <c r="G8" s="12">
        <f>F8*12</f>
        <v/>
      </c>
      <c r="H8" s="12" t="n">
        <v>2520</v>
      </c>
      <c r="I8" s="12">
        <f>H8-G8</f>
        <v/>
      </c>
      <c r="J8" s="7" t="inlineStr">
        <is>
          <t>Trial month before annual lock-in.</t>
        </is>
      </c>
    </row>
    <row r="9">
      <c r="A9" s="7" t="inlineStr">
        <is>
          <t>3-agent micro-team committed</t>
        </is>
      </c>
      <c r="B9" s="11" t="n">
        <v>3</v>
      </c>
      <c r="C9" s="7" t="inlineStr">
        <is>
          <t>Team</t>
        </is>
      </c>
      <c r="D9" s="11" t="inlineStr">
        <is>
          <t>Annual</t>
        </is>
      </c>
      <c r="E9" s="12" t="n">
        <v>49</v>
      </c>
      <c r="F9" s="12">
        <f>B9*E9</f>
        <v/>
      </c>
      <c r="G9" s="12">
        <f>F9*12</f>
        <v/>
      </c>
      <c r="H9" s="12" t="n">
        <v>2520</v>
      </c>
      <c r="I9" s="12">
        <f>H9-G9</f>
        <v/>
      </c>
      <c r="J9" s="7" t="inlineStr">
        <is>
          <t>Saves about one seat per year.</t>
        </is>
      </c>
    </row>
    <row r="10">
      <c r="A10" s="7" t="inlineStr">
        <is>
          <t>5-agent boutique</t>
        </is>
      </c>
      <c r="B10" s="11" t="n">
        <v>5</v>
      </c>
      <c r="C10" s="7" t="inlineStr">
        <is>
          <t>Team</t>
        </is>
      </c>
      <c r="D10" s="11" t="inlineStr">
        <is>
          <t>Annual</t>
        </is>
      </c>
      <c r="E10" s="12" t="n">
        <v>49</v>
      </c>
      <c r="F10" s="12">
        <f>B10*E10</f>
        <v/>
      </c>
      <c r="G10" s="12">
        <f>F10*12</f>
        <v/>
      </c>
      <c r="H10" s="12" t="n">
        <v>4200</v>
      </c>
      <c r="I10" s="12">
        <f>H10-G10</f>
        <v/>
      </c>
      <c r="J10" s="7" t="inlineStr">
        <is>
          <t>Team scales to 9 seats before Business.</t>
        </is>
      </c>
    </row>
    <row r="11">
      <c r="A11" s="7" t="inlineStr">
        <is>
          <t>8-agent brokerage</t>
        </is>
      </c>
      <c r="B11" s="11" t="n">
        <v>8</v>
      </c>
      <c r="C11" s="7" t="inlineStr">
        <is>
          <t>Team</t>
        </is>
      </c>
      <c r="D11" s="11" t="inlineStr">
        <is>
          <t>Annual</t>
        </is>
      </c>
      <c r="E11" s="12" t="n">
        <v>49</v>
      </c>
      <c r="F11" s="12">
        <f>B11*E11</f>
        <v/>
      </c>
      <c r="G11" s="12">
        <f>F11*12</f>
        <v/>
      </c>
      <c r="H11" s="12" t="n">
        <v>6720</v>
      </c>
      <c r="I11" s="12">
        <f>H11-G11</f>
        <v/>
      </c>
      <c r="J11" s="7" t="inlineStr">
        <is>
          <t>Stay on Team unless API/SSO/white-label needed.</t>
        </is>
      </c>
    </row>
    <row r="12">
      <c r="A12" s="7" t="inlineStr">
        <is>
          <t>10-agent brokerage</t>
        </is>
      </c>
      <c r="B12" s="11" t="n">
        <v>10</v>
      </c>
      <c r="C12" s="7" t="inlineStr">
        <is>
          <t>Business</t>
        </is>
      </c>
      <c r="D12" s="11" t="inlineStr">
        <is>
          <t>Monthly</t>
        </is>
      </c>
      <c r="E12" s="12" t="n">
        <v>110</v>
      </c>
      <c r="F12" s="12">
        <f>B12*E12</f>
        <v/>
      </c>
      <c r="G12" s="12">
        <f>F12*12</f>
        <v/>
      </c>
      <c r="H12" s="12" t="n">
        <v>13200</v>
      </c>
      <c r="I12" s="12">
        <f>H12-G12</f>
        <v/>
      </c>
      <c r="J12" s="7" t="inlineStr">
        <is>
          <t>Trial month before commit.</t>
        </is>
      </c>
    </row>
    <row r="13">
      <c r="A13" s="7" t="inlineStr">
        <is>
          <t>10-agent brokerage committed</t>
        </is>
      </c>
      <c r="B13" s="11" t="n">
        <v>10</v>
      </c>
      <c r="C13" s="7" t="inlineStr">
        <is>
          <t>Business</t>
        </is>
      </c>
      <c r="D13" s="11" t="inlineStr">
        <is>
          <t>Annual</t>
        </is>
      </c>
      <c r="E13" s="12" t="n">
        <v>77</v>
      </c>
      <c r="F13" s="12">
        <f>B13*E13</f>
        <v/>
      </c>
      <c r="G13" s="12">
        <f>F13*12</f>
        <v/>
      </c>
      <c r="H13" s="12" t="n">
        <v>13200</v>
      </c>
      <c r="I13" s="12">
        <f>H13-G13</f>
        <v/>
      </c>
      <c r="J13" s="7" t="inlineStr">
        <is>
          <t>Business floor. Includes white-label + CMA.</t>
        </is>
      </c>
    </row>
    <row r="14">
      <c r="A14" s="7" t="inlineStr">
        <is>
          <t>15-agent firm</t>
        </is>
      </c>
      <c r="B14" s="11" t="n">
        <v>15</v>
      </c>
      <c r="C14" s="7" t="inlineStr">
        <is>
          <t>Business</t>
        </is>
      </c>
      <c r="D14" s="11" t="inlineStr">
        <is>
          <t>Annual</t>
        </is>
      </c>
      <c r="E14" s="12" t="n">
        <v>77</v>
      </c>
      <c r="F14" s="12">
        <f>B14*E14</f>
        <v/>
      </c>
      <c r="G14" s="12">
        <f>F14*12</f>
        <v/>
      </c>
      <c r="H14" s="12" t="n">
        <v>19800</v>
      </c>
      <c r="I14" s="12">
        <f>H14-G14</f>
        <v/>
      </c>
      <c r="J14" s="7" t="inlineStr">
        <is>
          <t>Sweet spot for Business tier.</t>
        </is>
      </c>
    </row>
    <row r="15">
      <c r="A15" s="7" t="inlineStr">
        <is>
          <t>25-agent firm</t>
        </is>
      </c>
      <c r="B15" s="11" t="n">
        <v>25</v>
      </c>
      <c r="C15" s="7" t="inlineStr">
        <is>
          <t>Enterprise</t>
        </is>
      </c>
      <c r="D15" s="11" t="inlineStr">
        <is>
          <t>Annual</t>
        </is>
      </c>
      <c r="E15" s="14" t="inlineStr">
        <is>
          <t>Contact sales</t>
        </is>
      </c>
      <c r="F15" s="14" t="inlineStr">
        <is>
          <t>Contact sales</t>
        </is>
      </c>
      <c r="G15" s="14" t="inlineStr">
        <is>
          <t>Contact sales</t>
        </is>
      </c>
      <c r="H15" s="14" t="inlineStr">
        <is>
          <t>Contact sales</t>
        </is>
      </c>
      <c r="I15" s="14" t="inlineStr">
        <is>
          <t>Contact sales</t>
        </is>
      </c>
      <c r="J15" s="7" t="inlineStr">
        <is>
          <t>Volume discount + custom DPIA negotiable.</t>
        </is>
      </c>
    </row>
    <row r="16">
      <c r="A16" s="7" t="inlineStr">
        <is>
          <t>50+ multi-office</t>
        </is>
      </c>
      <c r="B16" s="11" t="n">
        <v>50</v>
      </c>
      <c r="C16" s="7" t="inlineStr">
        <is>
          <t>Enterprise</t>
        </is>
      </c>
      <c r="D16" s="11" t="inlineStr">
        <is>
          <t>Annual</t>
        </is>
      </c>
      <c r="E16" s="14" t="inlineStr">
        <is>
          <t>Contact sales</t>
        </is>
      </c>
      <c r="F16" s="14" t="inlineStr">
        <is>
          <t>Contact sales</t>
        </is>
      </c>
      <c r="G16" s="14" t="inlineStr">
        <is>
          <t>Contact sales</t>
        </is>
      </c>
      <c r="H16" s="14" t="inlineStr">
        <is>
          <t>Contact sales</t>
        </is>
      </c>
      <c r="I16" s="14" t="inlineStr">
        <is>
          <t>Contact sales</t>
        </is>
      </c>
      <c r="J16" s="7" t="inlineStr">
        <is>
          <t>Dedicated CSM + 99.9% SLA.</t>
        </is>
      </c>
    </row>
  </sheetData>
  <autoFilter ref="A4:J16"/>
  <conditionalFormatting sqref="I5:I16">
    <cfRule type="colorScale" priority="1">
      <colorScale>
        <cfvo type="min"/>
        <cfvo type="percentile" val="50"/>
        <cfvo type="max"/>
        <color rgb="00FFFFFF"/>
        <color rgb="00C6EFCE"/>
        <color rgb="003CB37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30" customWidth="1" min="4" max="4"/>
    <col width="32" customWidth="1" min="5" max="5"/>
  </cols>
  <sheetData>
    <row r="1" ht="22" customHeight="1">
      <c r="A1" s="10" t="inlineStr">
        <is>
          <t>Feature Matrix by Tier</t>
        </is>
      </c>
    </row>
    <row r="2">
      <c r="A2" s="9" t="inlineStr">
        <is>
          <t>Yes = included; No = not available; Basic/Full = partial vs complete; Custom = negotiated per contract.</t>
        </is>
      </c>
    </row>
    <row r="4">
      <c r="A4" s="5" t="inlineStr">
        <is>
          <t>Feature</t>
        </is>
      </c>
      <c r="B4" s="5" t="inlineStr">
        <is>
          <t>Operator</t>
        </is>
      </c>
      <c r="C4" s="5" t="inlineStr">
        <is>
          <t>Team</t>
        </is>
      </c>
      <c r="D4" s="5" t="inlineStr">
        <is>
          <t>Business</t>
        </is>
      </c>
      <c r="E4" s="5" t="inlineStr">
        <is>
          <t>Enterprise</t>
        </is>
      </c>
    </row>
    <row r="5">
      <c r="A5" s="7" t="inlineStr">
        <is>
          <t>Contacts, Leads, Deals, Pipeline</t>
        </is>
      </c>
      <c r="B5" s="11" t="inlineStr">
        <is>
          <t>Yes</t>
        </is>
      </c>
      <c r="C5" s="11" t="inlineStr">
        <is>
          <t>Yes</t>
        </is>
      </c>
      <c r="D5" s="11" t="inlineStr">
        <is>
          <t>Yes</t>
        </is>
      </c>
      <c r="E5" s="11" t="inlineStr">
        <is>
          <t>Yes</t>
        </is>
      </c>
    </row>
    <row r="6">
      <c r="A6" s="7" t="inlineStr">
        <is>
          <t>Action plans and drip campaigns</t>
        </is>
      </c>
      <c r="B6" s="11" t="inlineStr">
        <is>
          <t>Yes</t>
        </is>
      </c>
      <c r="C6" s="11" t="inlineStr">
        <is>
          <t>Yes</t>
        </is>
      </c>
      <c r="D6" s="11" t="inlineStr">
        <is>
          <t>Yes</t>
        </is>
      </c>
      <c r="E6" s="11" t="inlineStr">
        <is>
          <t>Yes</t>
        </is>
      </c>
    </row>
    <row r="7">
      <c r="A7" s="7" t="inlineStr">
        <is>
          <t>Email and SMS</t>
        </is>
      </c>
      <c r="B7" s="11" t="inlineStr">
        <is>
          <t>Yes</t>
        </is>
      </c>
      <c r="C7" s="11" t="inlineStr">
        <is>
          <t>Yes</t>
        </is>
      </c>
      <c r="D7" s="11" t="inlineStr">
        <is>
          <t>Yes</t>
        </is>
      </c>
      <c r="E7" s="11" t="inlineStr">
        <is>
          <t>Yes</t>
        </is>
      </c>
    </row>
    <row r="8">
      <c r="A8" s="7" t="inlineStr">
        <is>
          <t>Client portal</t>
        </is>
      </c>
      <c r="B8" s="11" t="inlineStr">
        <is>
          <t>Basic</t>
        </is>
      </c>
      <c r="C8" s="11" t="inlineStr">
        <is>
          <t>Full</t>
        </is>
      </c>
      <c r="D8" s="11" t="inlineStr">
        <is>
          <t>Full + branding</t>
        </is>
      </c>
      <c r="E8" s="11" t="inlineStr">
        <is>
          <t>Full + branding</t>
        </is>
      </c>
    </row>
    <row r="9">
      <c r="A9" s="7" t="inlineStr">
        <is>
          <t>Mobile app (iOS and Android)</t>
        </is>
      </c>
      <c r="B9" s="11" t="inlineStr">
        <is>
          <t>Yes</t>
        </is>
      </c>
      <c r="C9" s="11" t="inlineStr">
        <is>
          <t>Yes</t>
        </is>
      </c>
      <c r="D9" s="11" t="inlineStr">
        <is>
          <t>Yes</t>
        </is>
      </c>
      <c r="E9" s="11" t="inlineStr">
        <is>
          <t>Yes</t>
        </is>
      </c>
    </row>
    <row r="10">
      <c r="A10" s="7" t="inlineStr">
        <is>
          <t>Four-locale UI (EN/NL/DE/ES)</t>
        </is>
      </c>
      <c r="B10" s="11" t="inlineStr">
        <is>
          <t>Yes</t>
        </is>
      </c>
      <c r="C10" s="11" t="inlineStr">
        <is>
          <t>Yes</t>
        </is>
      </c>
      <c r="D10" s="11" t="inlineStr">
        <is>
          <t>Yes</t>
        </is>
      </c>
      <c r="E10" s="11" t="inlineStr">
        <is>
          <t>Yes</t>
        </is>
      </c>
    </row>
    <row r="11">
      <c r="A11" s="7" t="inlineStr">
        <is>
          <t>Multi-user and roles</t>
        </is>
      </c>
      <c r="B11" s="11" t="inlineStr">
        <is>
          <t>No</t>
        </is>
      </c>
      <c r="C11" s="11" t="inlineStr">
        <is>
          <t>Yes</t>
        </is>
      </c>
      <c r="D11" s="11" t="inlineStr">
        <is>
          <t>Yes</t>
        </is>
      </c>
      <c r="E11" s="11" t="inlineStr">
        <is>
          <t>Yes</t>
        </is>
      </c>
    </row>
    <row r="12">
      <c r="A12" s="7" t="inlineStr">
        <is>
          <t>Lead routing</t>
        </is>
      </c>
      <c r="B12" s="11" t="inlineStr">
        <is>
          <t>No</t>
        </is>
      </c>
      <c r="C12" s="11" t="inlineStr">
        <is>
          <t>Yes</t>
        </is>
      </c>
      <c r="D12" s="11" t="inlineStr">
        <is>
          <t>Yes</t>
        </is>
      </c>
      <c r="E12" s="11" t="inlineStr">
        <is>
          <t>Yes</t>
        </is>
      </c>
    </row>
    <row r="13">
      <c r="A13" s="7" t="inlineStr">
        <is>
          <t>Lead scoring</t>
        </is>
      </c>
      <c r="B13" s="11" t="inlineStr">
        <is>
          <t>No</t>
        </is>
      </c>
      <c r="C13" s="11" t="inlineStr">
        <is>
          <t>Yes</t>
        </is>
      </c>
      <c r="D13" s="11" t="inlineStr">
        <is>
          <t>Yes</t>
        </is>
      </c>
      <c r="E13" s="11" t="inlineStr">
        <is>
          <t>Yes</t>
        </is>
      </c>
    </row>
    <row r="14">
      <c r="A14" s="7" t="inlineStr">
        <is>
          <t>Team analytics</t>
        </is>
      </c>
      <c r="B14" s="11" t="inlineStr">
        <is>
          <t>No</t>
        </is>
      </c>
      <c r="C14" s="11" t="inlineStr">
        <is>
          <t>Yes</t>
        </is>
      </c>
      <c r="D14" s="11" t="inlineStr">
        <is>
          <t>Yes</t>
        </is>
      </c>
      <c r="E14" s="11" t="inlineStr">
        <is>
          <t>Yes</t>
        </is>
      </c>
    </row>
    <row r="15">
      <c r="A15" s="7" t="inlineStr">
        <is>
          <t>Audit log</t>
        </is>
      </c>
      <c r="B15" s="11" t="inlineStr">
        <is>
          <t>No</t>
        </is>
      </c>
      <c r="C15" s="11" t="inlineStr">
        <is>
          <t>Yes</t>
        </is>
      </c>
      <c r="D15" s="11" t="inlineStr">
        <is>
          <t>Yes</t>
        </is>
      </c>
      <c r="E15" s="11" t="inlineStr">
        <is>
          <t>Yes</t>
        </is>
      </c>
    </row>
    <row r="16">
      <c r="A16" s="7" t="inlineStr">
        <is>
          <t>Custom fields</t>
        </is>
      </c>
      <c r="B16" s="11" t="inlineStr">
        <is>
          <t>No</t>
        </is>
      </c>
      <c r="C16" s="11" t="inlineStr">
        <is>
          <t>Yes</t>
        </is>
      </c>
      <c r="D16" s="11" t="inlineStr">
        <is>
          <t>Yes</t>
        </is>
      </c>
      <c r="E16" s="11" t="inlineStr">
        <is>
          <t>Yes</t>
        </is>
      </c>
    </row>
    <row r="17">
      <c r="A17" s="7" t="inlineStr">
        <is>
          <t>White-label and custom domain</t>
        </is>
      </c>
      <c r="B17" s="11" t="inlineStr">
        <is>
          <t>No</t>
        </is>
      </c>
      <c r="C17" s="11" t="inlineStr">
        <is>
          <t>No</t>
        </is>
      </c>
      <c r="D17" s="11" t="inlineStr">
        <is>
          <t>Yes</t>
        </is>
      </c>
      <c r="E17" s="11" t="inlineStr">
        <is>
          <t>Yes</t>
        </is>
      </c>
    </row>
    <row r="18">
      <c r="A18" s="7" t="inlineStr">
        <is>
          <t>API access</t>
        </is>
      </c>
      <c r="B18" s="11" t="inlineStr">
        <is>
          <t>No</t>
        </is>
      </c>
      <c r="C18" s="11" t="inlineStr">
        <is>
          <t>No</t>
        </is>
      </c>
      <c r="D18" s="11" t="inlineStr">
        <is>
          <t>Yes</t>
        </is>
      </c>
      <c r="E18" s="11" t="inlineStr">
        <is>
          <t>Yes</t>
        </is>
      </c>
    </row>
    <row r="19">
      <c r="A19" s="7" t="inlineStr">
        <is>
          <t>SSO (SAML)</t>
        </is>
      </c>
      <c r="B19" s="11" t="inlineStr">
        <is>
          <t>No</t>
        </is>
      </c>
      <c r="C19" s="11" t="inlineStr">
        <is>
          <t>No</t>
        </is>
      </c>
      <c r="D19" s="11" t="inlineStr">
        <is>
          <t>Yes</t>
        </is>
      </c>
      <c r="E19" s="11" t="inlineStr">
        <is>
          <t>Yes</t>
        </is>
      </c>
    </row>
    <row r="20">
      <c r="A20" s="7" t="inlineStr">
        <is>
          <t>CMA tool</t>
        </is>
      </c>
      <c r="B20" s="11" t="inlineStr">
        <is>
          <t>No</t>
        </is>
      </c>
      <c r="C20" s="11" t="inlineStr">
        <is>
          <t>No</t>
        </is>
      </c>
      <c r="D20" s="11" t="inlineStr">
        <is>
          <t>Yes</t>
        </is>
      </c>
      <c r="E20" s="11" t="inlineStr">
        <is>
          <t>Yes</t>
        </is>
      </c>
    </row>
    <row r="21">
      <c r="A21" s="7" t="inlineStr">
        <is>
          <t>Market analytics dashboard</t>
        </is>
      </c>
      <c r="B21" s="11" t="inlineStr">
        <is>
          <t>No</t>
        </is>
      </c>
      <c r="C21" s="11" t="inlineStr">
        <is>
          <t>No</t>
        </is>
      </c>
      <c r="D21" s="11" t="inlineStr">
        <is>
          <t>Yes</t>
        </is>
      </c>
      <c r="E21" s="11" t="inlineStr">
        <is>
          <t>Yes</t>
        </is>
      </c>
    </row>
    <row r="22">
      <c r="A22" s="7" t="inlineStr">
        <is>
          <t>Advanced reporting</t>
        </is>
      </c>
      <c r="B22" s="11" t="inlineStr">
        <is>
          <t>No</t>
        </is>
      </c>
      <c r="C22" s="11" t="inlineStr">
        <is>
          <t>No</t>
        </is>
      </c>
      <c r="D22" s="11" t="inlineStr">
        <is>
          <t>Yes</t>
        </is>
      </c>
      <c r="E22" s="11" t="inlineStr">
        <is>
          <t>Yes</t>
        </is>
      </c>
    </row>
    <row r="23">
      <c r="A23" s="7" t="inlineStr">
        <is>
          <t>Storage per seat</t>
        </is>
      </c>
      <c r="B23" s="11" t="inlineStr">
        <is>
          <t>5 GB</t>
        </is>
      </c>
      <c r="C23" s="11" t="inlineStr">
        <is>
          <t>25 GB</t>
        </is>
      </c>
      <c r="D23" s="11" t="inlineStr">
        <is>
          <t>100 GB</t>
        </is>
      </c>
      <c r="E23" s="11" t="inlineStr">
        <is>
          <t>Unlimited</t>
        </is>
      </c>
    </row>
    <row r="24">
      <c r="A24" s="7" t="inlineStr">
        <is>
          <t>Support SLA</t>
        </is>
      </c>
      <c r="B24" s="11" t="inlineStr">
        <is>
          <t>Email best-effort</t>
        </is>
      </c>
      <c r="C24" s="11" t="inlineStr">
        <is>
          <t>Email 24h</t>
        </is>
      </c>
      <c r="D24" s="11" t="inlineStr">
        <is>
          <t>Email 4h + chat</t>
        </is>
      </c>
      <c r="E24" s="11" t="inlineStr">
        <is>
          <t>Dedicated CSM + 99.9% SLA</t>
        </is>
      </c>
    </row>
    <row r="25">
      <c r="A25" s="7" t="inlineStr">
        <is>
          <t>Backup-restore drill</t>
        </is>
      </c>
      <c r="B25" s="11" t="inlineStr">
        <is>
          <t>No</t>
        </is>
      </c>
      <c r="C25" s="11" t="inlineStr">
        <is>
          <t>Annual</t>
        </is>
      </c>
      <c r="D25" s="11" t="inlineStr">
        <is>
          <t>Quarterly</t>
        </is>
      </c>
      <c r="E25" s="11" t="inlineStr">
        <is>
          <t>Quarterly + counsel-reviewed</t>
        </is>
      </c>
    </row>
    <row r="26">
      <c r="A26" s="7" t="inlineStr">
        <is>
          <t>GDPR DPA</t>
        </is>
      </c>
      <c r="B26" s="11" t="inlineStr">
        <is>
          <t>Self-serve</t>
        </is>
      </c>
      <c r="C26" s="11" t="inlineStr">
        <is>
          <t>Self-serve</t>
        </is>
      </c>
      <c r="D26" s="11" t="inlineStr">
        <is>
          <t>Counter-signed</t>
        </is>
      </c>
      <c r="E26" s="11" t="inlineStr">
        <is>
          <t>Counter-signed + custom RoPA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22" customWidth="1" min="4" max="4"/>
    <col width="58" customWidth="1" min="5" max="5"/>
  </cols>
  <sheetData>
    <row r="1" ht="22" customHeight="1">
      <c r="A1" s="10" t="inlineStr">
        <is>
          <t>Add-on Pricing</t>
        </is>
      </c>
    </row>
    <row r="2">
      <c r="A2" s="9" t="inlineStr">
        <is>
          <t>Available across all tiers. Usage-based add-ons are billed monthly in arrears.</t>
        </is>
      </c>
    </row>
    <row r="4">
      <c r="A4" s="5" t="inlineStr">
        <is>
          <t>Add-on</t>
        </is>
      </c>
      <c r="B4" s="5" t="inlineStr">
        <is>
          <t>Unit Price (EUR)</t>
        </is>
      </c>
      <c r="C4" s="5" t="inlineStr">
        <is>
          <t>Unit</t>
        </is>
      </c>
      <c r="D4" s="5" t="inlineStr">
        <is>
          <t>Free Quota</t>
        </is>
      </c>
      <c r="E4" s="5" t="inlineStr">
        <is>
          <t>Notes</t>
        </is>
      </c>
    </row>
    <row r="5">
      <c r="A5" s="7" t="inlineStr">
        <is>
          <t>Extra storage</t>
        </is>
      </c>
      <c r="B5" s="12" t="n">
        <v>0.1</v>
      </c>
      <c r="C5" s="7" t="inlineStr">
        <is>
          <t>Per GB per month</t>
        </is>
      </c>
      <c r="D5" s="7" t="inlineStr">
        <is>
          <t>Tier-included quota</t>
        </is>
      </c>
      <c r="E5" s="7" t="inlineStr">
        <is>
          <t>Auto-billed when tier quota exceeded.</t>
        </is>
      </c>
    </row>
    <row r="6">
      <c r="A6" s="7" t="inlineStr">
        <is>
          <t>Extra phone number</t>
        </is>
      </c>
      <c r="B6" s="12" t="n">
        <v>5</v>
      </c>
      <c r="C6" s="7" t="inlineStr">
        <is>
          <t>Per number per month</t>
        </is>
      </c>
      <c r="D6" s="7" t="inlineStr">
        <is>
          <t>0</t>
        </is>
      </c>
      <c r="E6" s="7" t="inlineStr">
        <is>
          <t>Twilio-backed. For SMS and call routing.</t>
        </is>
      </c>
    </row>
    <row r="7">
      <c r="A7" s="7" t="inlineStr">
        <is>
          <t>SMS bundle</t>
        </is>
      </c>
      <c r="B7" s="12" t="n">
        <v>0.05</v>
      </c>
      <c r="C7" s="7" t="inlineStr">
        <is>
          <t>Per message</t>
        </is>
      </c>
      <c r="D7" s="7" t="inlineStr">
        <is>
          <t>0</t>
        </is>
      </c>
      <c r="E7" s="7" t="inlineStr">
        <is>
          <t>EU pricing average. Varies by country.</t>
        </is>
      </c>
    </row>
    <row r="8">
      <c r="A8" s="7" t="inlineStr">
        <is>
          <t>Email overage</t>
        </is>
      </c>
      <c r="B8" s="12" t="n">
        <v>0.001</v>
      </c>
      <c r="C8" s="7" t="inlineStr">
        <is>
          <t>Per email</t>
        </is>
      </c>
      <c r="D8" s="7" t="inlineStr">
        <is>
          <t>10000 per seat/mo</t>
        </is>
      </c>
      <c r="E8" s="7" t="inlineStr">
        <is>
          <t>First 10k emails per seat are included.</t>
        </is>
      </c>
    </row>
    <row r="9">
      <c r="A9" s="7" t="inlineStr">
        <is>
          <t>Implementation pack</t>
        </is>
      </c>
      <c r="B9" s="12" t="n">
        <v>495</v>
      </c>
      <c r="C9" s="7" t="inlineStr">
        <is>
          <t>One-time</t>
        </is>
      </c>
      <c r="D9" s="7" t="inlineStr">
        <is>
          <t>n/a</t>
        </is>
      </c>
      <c r="E9" s="7" t="inlineStr">
        <is>
          <t>Data import + 1h setup call + 30 days email support.</t>
        </is>
      </c>
    </row>
    <row r="10">
      <c r="A10" s="7" t="inlineStr">
        <is>
          <t>White-glove onboarding</t>
        </is>
      </c>
      <c r="B10" s="12" t="n">
        <v>2500</v>
      </c>
      <c r="C10" s="7" t="inlineStr">
        <is>
          <t>One-time</t>
        </is>
      </c>
      <c r="D10" s="7" t="inlineStr">
        <is>
          <t>n/a</t>
        </is>
      </c>
      <c r="E10" s="7" t="inlineStr">
        <is>
          <t>Required on Business. Included in Enterprise.</t>
        </is>
      </c>
    </row>
    <row r="11">
      <c r="A11" s="7" t="inlineStr">
        <is>
          <t>DPIA / RoPA review</t>
        </is>
      </c>
      <c r="B11" s="12" t="n">
        <v>750</v>
      </c>
      <c r="C11" s="7" t="inlineStr">
        <is>
          <t>One-time</t>
        </is>
      </c>
      <c r="D11" s="7" t="inlineStr">
        <is>
          <t>n/a</t>
        </is>
      </c>
      <c r="E11" s="7" t="inlineStr">
        <is>
          <t>Recommended for healthcare and public-sector buyers.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30" customWidth="1" min="4" max="4"/>
    <col width="20" customWidth="1" min="5" max="5"/>
    <col width="12" customWidth="1" min="6" max="6"/>
    <col width="30" customWidth="1" min="7" max="7"/>
  </cols>
  <sheetData>
    <row r="1" ht="22" customHeight="1">
      <c r="A1" s="10" t="inlineStr">
        <is>
          <t>Annual Savings vs Monthly</t>
        </is>
      </c>
    </row>
    <row r="2">
      <c r="A2" s="9" t="inlineStr">
        <is>
          <t>Savings calculations at minimum seat counts for each tier.</t>
        </is>
      </c>
    </row>
    <row r="4">
      <c r="A4" s="5" t="inlineStr">
        <is>
          <t>Tier</t>
        </is>
      </c>
      <c r="B4" s="5" t="inlineStr">
        <is>
          <t>Monthly Cost Per Seat (EUR)</t>
        </is>
      </c>
      <c r="C4" s="5" t="inlineStr">
        <is>
          <t>Annual Cost Per Seat (EUR)</t>
        </is>
      </c>
      <c r="D4" s="5" t="inlineStr">
        <is>
          <t>Annual Savings Per Seat (EUR)</t>
        </is>
      </c>
      <c r="E4" s="5" t="inlineStr">
        <is>
          <t>Annual Savings %</t>
        </is>
      </c>
      <c r="F4" s="5" t="inlineStr">
        <is>
          <t>Min Seats</t>
        </is>
      </c>
      <c r="G4" s="5" t="inlineStr">
        <is>
          <t>Annual Savings at Min Seats (EUR)</t>
        </is>
      </c>
    </row>
    <row r="5">
      <c r="A5" s="7" t="inlineStr">
        <is>
          <t>Operator</t>
        </is>
      </c>
      <c r="B5" s="12" t="n">
        <v>40</v>
      </c>
      <c r="C5" s="12" t="n">
        <v>28</v>
      </c>
      <c r="D5" s="12">
        <f>(B5-C5)*12</f>
        <v/>
      </c>
      <c r="E5" s="13">
        <f>(B5-C5)/B5</f>
        <v/>
      </c>
      <c r="F5" s="11" t="n">
        <v>1</v>
      </c>
      <c r="G5" s="12">
        <f>D5*F5</f>
        <v/>
      </c>
    </row>
    <row r="6">
      <c r="A6" s="7" t="inlineStr">
        <is>
          <t>Team</t>
        </is>
      </c>
      <c r="B6" s="12" t="n">
        <v>70</v>
      </c>
      <c r="C6" s="12" t="n">
        <v>49</v>
      </c>
      <c r="D6" s="12">
        <f>(B6-C6)*12</f>
        <v/>
      </c>
      <c r="E6" s="13">
        <f>(B6-C6)/B6</f>
        <v/>
      </c>
      <c r="F6" s="11" t="n">
        <v>3</v>
      </c>
      <c r="G6" s="12">
        <f>D6*F6</f>
        <v/>
      </c>
    </row>
    <row r="7">
      <c r="A7" s="7" t="inlineStr">
        <is>
          <t>Business</t>
        </is>
      </c>
      <c r="B7" s="12" t="n">
        <v>110</v>
      </c>
      <c r="C7" s="12" t="n">
        <v>77</v>
      </c>
      <c r="D7" s="12">
        <f>(B7-C7)*12</f>
        <v/>
      </c>
      <c r="E7" s="13">
        <f>(B7-C7)/B7</f>
        <v/>
      </c>
      <c r="F7" s="11" t="n">
        <v>10</v>
      </c>
      <c r="G7" s="12">
        <f>D7*F7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6" customWidth="1" min="4" max="4"/>
    <col width="26" customWidth="1" min="5" max="5"/>
    <col width="26" customWidth="1" min="6" max="6"/>
  </cols>
  <sheetData>
    <row r="1" ht="22" customHeight="1">
      <c r="A1" s="10" t="inlineStr">
        <is>
          <t>Commitment Discount Curve</t>
        </is>
      </c>
    </row>
    <row r="2">
      <c r="A2" s="9" t="inlineStr">
        <is>
          <t>Aggressive ladder: 0 / 10 / 18 / 30 percent. Annual is the anchor offer.</t>
        </is>
      </c>
    </row>
    <row r="4">
      <c r="A4" s="5" t="inlineStr">
        <is>
          <t>Commitment</t>
        </is>
      </c>
      <c r="B4" s="5" t="inlineStr">
        <is>
          <t>Term Months</t>
        </is>
      </c>
      <c r="C4" s="5" t="inlineStr">
        <is>
          <t>Discount %</t>
        </is>
      </c>
      <c r="D4" s="5" t="inlineStr">
        <is>
          <t>Operator (EUR/seat/mo)</t>
        </is>
      </c>
      <c r="E4" s="5" t="inlineStr">
        <is>
          <t>Team (EUR/seat/mo)</t>
        </is>
      </c>
      <c r="F4" s="5" t="inlineStr">
        <is>
          <t>Business (EUR/seat/mo)</t>
        </is>
      </c>
    </row>
    <row r="5">
      <c r="A5" s="7" t="inlineStr">
        <is>
          <t>Monthly</t>
        </is>
      </c>
      <c r="B5" s="11" t="n">
        <v>1</v>
      </c>
      <c r="C5" s="13" t="n">
        <v>0</v>
      </c>
      <c r="D5" s="12" t="n">
        <v>40</v>
      </c>
      <c r="E5" s="12" t="n">
        <v>70</v>
      </c>
      <c r="F5" s="12" t="n">
        <v>110</v>
      </c>
    </row>
    <row r="6">
      <c r="A6" s="7" t="inlineStr">
        <is>
          <t>Quarterly</t>
        </is>
      </c>
      <c r="B6" s="11" t="n">
        <v>3</v>
      </c>
      <c r="C6" s="13" t="n">
        <v>0.1</v>
      </c>
      <c r="D6" s="12" t="n">
        <v>36</v>
      </c>
      <c r="E6" s="12" t="n">
        <v>63</v>
      </c>
      <c r="F6" s="12" t="n">
        <v>99</v>
      </c>
    </row>
    <row r="7">
      <c r="A7" s="7" t="inlineStr">
        <is>
          <t>Semi-Annual</t>
        </is>
      </c>
      <c r="B7" s="11" t="n">
        <v>6</v>
      </c>
      <c r="C7" s="13" t="n">
        <v>0.18</v>
      </c>
      <c r="D7" s="12" t="n">
        <v>32.8</v>
      </c>
      <c r="E7" s="12" t="n">
        <v>57.4</v>
      </c>
      <c r="F7" s="12" t="n">
        <v>90.2</v>
      </c>
    </row>
    <row r="8">
      <c r="A8" s="15" t="inlineStr">
        <is>
          <t>Annual</t>
        </is>
      </c>
      <c r="B8" s="16" t="n">
        <v>12</v>
      </c>
      <c r="C8" s="17" t="n">
        <v>0.3</v>
      </c>
      <c r="D8" s="18" t="n">
        <v>28</v>
      </c>
      <c r="E8" s="18" t="n">
        <v>49</v>
      </c>
      <c r="F8" s="18" t="n">
        <v>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32" customWidth="1" min="4" max="4"/>
    <col width="16" customWidth="1" min="5" max="5"/>
    <col width="28" customWidth="1" min="6" max="6"/>
  </cols>
  <sheetData>
    <row r="1" ht="22" customHeight="1">
      <c r="A1" s="10" t="inlineStr">
        <is>
          <t>Active Coupons</t>
        </is>
      </c>
    </row>
    <row r="2">
      <c r="A2" s="9" t="inlineStr">
        <is>
          <t>Coupons are tied to email-sequence triggers and single-use per customer.</t>
        </is>
      </c>
    </row>
    <row r="4">
      <c r="A4" s="5" t="inlineStr">
        <is>
          <t>Code</t>
        </is>
      </c>
      <c r="B4" s="5" t="inlineStr">
        <is>
          <t>Description</t>
        </is>
      </c>
      <c r="C4" s="5" t="inlineStr">
        <is>
          <t>Discount %</t>
        </is>
      </c>
      <c r="D4" s="5" t="inlineStr">
        <is>
          <t>Applies To</t>
        </is>
      </c>
      <c r="E4" s="5" t="inlineStr">
        <is>
          <t>Validity (Days)</t>
        </is>
      </c>
      <c r="F4" s="5" t="inlineStr">
        <is>
          <t>Max Redemptions Per Customer</t>
        </is>
      </c>
    </row>
    <row r="5">
      <c r="A5" s="7" t="inlineStr">
        <is>
          <t>WELCOMEBACK10</t>
        </is>
      </c>
      <c r="B5" s="7" t="inlineStr">
        <is>
          <t>Trial winback offer (email-winback sequence)</t>
        </is>
      </c>
      <c r="C5" s="13" t="n">
        <v>0.1</v>
      </c>
      <c r="D5" s="7" t="inlineStr">
        <is>
          <t>Quarterly plan, first term only</t>
        </is>
      </c>
      <c r="E5" s="11" t="n">
        <v>25</v>
      </c>
      <c r="F5" s="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  <col width="52" customWidth="1" min="8" max="8"/>
  </cols>
  <sheetData>
    <row r="1" ht="22" customHeight="1">
      <c r="A1" s="10" t="inlineStr">
        <is>
          <t>Stripe Product / Price Mapping</t>
        </is>
      </c>
    </row>
    <row r="2">
      <c r="A2" s="9" t="inlineStr">
        <is>
          <t>Operator action: create one Stripe Product per tier and one Price per commitment. Map env vars to the IDs below.</t>
        </is>
      </c>
    </row>
    <row r="4">
      <c r="A4" s="5" t="inlineStr">
        <is>
          <t>Stripe Price ID</t>
        </is>
      </c>
      <c r="B4" s="5" t="inlineStr">
        <is>
          <t>Tier</t>
        </is>
      </c>
      <c r="C4" s="5" t="inlineStr">
        <is>
          <t>Commitment</t>
        </is>
      </c>
      <c r="D4" s="5" t="inlineStr">
        <is>
          <t>Amount (EUR)</t>
        </is>
      </c>
      <c r="E4" s="5" t="inlineStr">
        <is>
          <t>Recurring Interval</t>
        </is>
      </c>
      <c r="F4" s="5" t="inlineStr">
        <is>
          <t>Trial Period (Days)</t>
        </is>
      </c>
      <c r="G4" s="5" t="inlineStr">
        <is>
          <t>Tax Behavior</t>
        </is>
      </c>
      <c r="H4" s="5" t="inlineStr">
        <is>
          <t>Notes</t>
        </is>
      </c>
    </row>
    <row r="5">
      <c r="A5" s="7" t="inlineStr">
        <is>
          <t>price_operator_monthly</t>
        </is>
      </c>
      <c r="B5" s="7" t="inlineStr">
        <is>
          <t>Operator</t>
        </is>
      </c>
      <c r="C5" s="11" t="inlineStr">
        <is>
          <t>Monthly</t>
        </is>
      </c>
      <c r="D5" s="12" t="n">
        <v>40</v>
      </c>
      <c r="E5" s="11" t="inlineStr">
        <is>
          <t>month</t>
        </is>
      </c>
      <c r="F5" s="11" t="n">
        <v>14</v>
      </c>
      <c r="G5" s="11" t="inlineStr">
        <is>
          <t>Exclusive</t>
        </is>
      </c>
      <c r="H5" s="7" t="inlineStr">
        <is>
          <t>Self-serve trial. No card required.</t>
        </is>
      </c>
    </row>
    <row r="6">
      <c r="A6" s="7" t="inlineStr">
        <is>
          <t>price_operator_quarterly</t>
        </is>
      </c>
      <c r="B6" s="7" t="inlineStr">
        <is>
          <t>Operator</t>
        </is>
      </c>
      <c r="C6" s="11" t="inlineStr">
        <is>
          <t>Quarterly</t>
        </is>
      </c>
      <c r="D6" s="12" t="n">
        <v>108</v>
      </c>
      <c r="E6" s="11" t="inlineStr">
        <is>
          <t>3 months</t>
        </is>
      </c>
      <c r="F6" s="11" t="n">
        <v>14</v>
      </c>
      <c r="G6" s="11" t="inlineStr">
        <is>
          <t>Exclusive</t>
        </is>
      </c>
      <c r="H6" s="7" t="inlineStr">
        <is>
          <t>Billed every 3 months.</t>
        </is>
      </c>
    </row>
    <row r="7">
      <c r="A7" s="7" t="inlineStr">
        <is>
          <t>price_operator_semiannual</t>
        </is>
      </c>
      <c r="B7" s="7" t="inlineStr">
        <is>
          <t>Operator</t>
        </is>
      </c>
      <c r="C7" s="11" t="inlineStr">
        <is>
          <t>Semi-Annual</t>
        </is>
      </c>
      <c r="D7" s="12" t="n">
        <v>196.8</v>
      </c>
      <c r="E7" s="11" t="inlineStr">
        <is>
          <t>6 months</t>
        </is>
      </c>
      <c r="F7" s="11" t="n">
        <v>14</v>
      </c>
      <c r="G7" s="11" t="inlineStr">
        <is>
          <t>Exclusive</t>
        </is>
      </c>
      <c r="H7" s="7" t="inlineStr">
        <is>
          <t>Billed every 6 months.</t>
        </is>
      </c>
    </row>
    <row r="8">
      <c r="A8" s="7" t="inlineStr">
        <is>
          <t>price_operator_annual</t>
        </is>
      </c>
      <c r="B8" s="7" t="inlineStr">
        <is>
          <t>Operator</t>
        </is>
      </c>
      <c r="C8" s="11" t="inlineStr">
        <is>
          <t>Annual</t>
        </is>
      </c>
      <c r="D8" s="12" t="n">
        <v>336</v>
      </c>
      <c r="E8" s="11" t="inlineStr">
        <is>
          <t>year</t>
        </is>
      </c>
      <c r="F8" s="11" t="n">
        <v>14</v>
      </c>
      <c r="G8" s="11" t="inlineStr">
        <is>
          <t>Exclusive</t>
        </is>
      </c>
      <c r="H8" s="7" t="inlineStr">
        <is>
          <t>Anchor offer. 30% discount.</t>
        </is>
      </c>
    </row>
    <row r="9">
      <c r="A9" s="7" t="inlineStr">
        <is>
          <t>price_team_monthly</t>
        </is>
      </c>
      <c r="B9" s="7" t="inlineStr">
        <is>
          <t>Team</t>
        </is>
      </c>
      <c r="C9" s="11" t="inlineStr">
        <is>
          <t>Monthly</t>
        </is>
      </c>
      <c r="D9" s="12" t="n">
        <v>70</v>
      </c>
      <c r="E9" s="11" t="inlineStr">
        <is>
          <t>month</t>
        </is>
      </c>
      <c r="F9" s="11" t="n">
        <v>14</v>
      </c>
      <c r="G9" s="11" t="inlineStr">
        <is>
          <t>Exclusive</t>
        </is>
      </c>
      <c r="H9" s="7" t="inlineStr">
        <is>
          <t>Min 3 seats enforced at checkout.</t>
        </is>
      </c>
    </row>
    <row r="10">
      <c r="A10" s="7" t="inlineStr">
        <is>
          <t>price_team_quarterly</t>
        </is>
      </c>
      <c r="B10" s="7" t="inlineStr">
        <is>
          <t>Team</t>
        </is>
      </c>
      <c r="C10" s="11" t="inlineStr">
        <is>
          <t>Quarterly</t>
        </is>
      </c>
      <c r="D10" s="12" t="n">
        <v>189</v>
      </c>
      <c r="E10" s="11" t="inlineStr">
        <is>
          <t>3 months</t>
        </is>
      </c>
      <c r="F10" s="11" t="n">
        <v>14</v>
      </c>
      <c r="G10" s="11" t="inlineStr">
        <is>
          <t>Exclusive</t>
        </is>
      </c>
      <c r="H10" s="7" t="inlineStr">
        <is>
          <t>Billed every 3 months.</t>
        </is>
      </c>
    </row>
    <row r="11">
      <c r="A11" s="7" t="inlineStr">
        <is>
          <t>price_team_semiannual</t>
        </is>
      </c>
      <c r="B11" s="7" t="inlineStr">
        <is>
          <t>Team</t>
        </is>
      </c>
      <c r="C11" s="11" t="inlineStr">
        <is>
          <t>Semi-Annual</t>
        </is>
      </c>
      <c r="D11" s="12" t="n">
        <v>344.4</v>
      </c>
      <c r="E11" s="11" t="inlineStr">
        <is>
          <t>6 months</t>
        </is>
      </c>
      <c r="F11" s="11" t="n">
        <v>14</v>
      </c>
      <c r="G11" s="11" t="inlineStr">
        <is>
          <t>Exclusive</t>
        </is>
      </c>
      <c r="H11" s="7" t="inlineStr">
        <is>
          <t>Billed every 6 months.</t>
        </is>
      </c>
    </row>
    <row r="12">
      <c r="A12" s="7" t="inlineStr">
        <is>
          <t>price_team_annual</t>
        </is>
      </c>
      <c r="B12" s="7" t="inlineStr">
        <is>
          <t>Team</t>
        </is>
      </c>
      <c r="C12" s="11" t="inlineStr">
        <is>
          <t>Annual</t>
        </is>
      </c>
      <c r="D12" s="12" t="n">
        <v>588</v>
      </c>
      <c r="E12" s="11" t="inlineStr">
        <is>
          <t>year</t>
        </is>
      </c>
      <c r="F12" s="11" t="n">
        <v>14</v>
      </c>
      <c r="G12" s="11" t="inlineStr">
        <is>
          <t>Exclusive</t>
        </is>
      </c>
      <c r="H12" s="7" t="inlineStr">
        <is>
          <t>Min 3 seats. 30% discount.</t>
        </is>
      </c>
    </row>
    <row r="13">
      <c r="A13" s="7" t="inlineStr">
        <is>
          <t>price_business_monthly</t>
        </is>
      </c>
      <c r="B13" s="7" t="inlineStr">
        <is>
          <t>Business</t>
        </is>
      </c>
      <c r="C13" s="11" t="inlineStr">
        <is>
          <t>Monthly</t>
        </is>
      </c>
      <c r="D13" s="12" t="n">
        <v>110</v>
      </c>
      <c r="E13" s="11" t="inlineStr">
        <is>
          <t>month</t>
        </is>
      </c>
      <c r="F13" s="11" t="n">
        <v>0</v>
      </c>
      <c r="G13" s="11" t="inlineStr">
        <is>
          <t>Exclusive</t>
        </is>
      </c>
      <c r="H13" s="7" t="inlineStr">
        <is>
          <t>Sales-assisted only. Min 10 seats.</t>
        </is>
      </c>
    </row>
    <row r="14">
      <c r="A14" s="7" t="inlineStr">
        <is>
          <t>price_business_quarterly</t>
        </is>
      </c>
      <c r="B14" s="7" t="inlineStr">
        <is>
          <t>Business</t>
        </is>
      </c>
      <c r="C14" s="11" t="inlineStr">
        <is>
          <t>Quarterly</t>
        </is>
      </c>
      <c r="D14" s="12" t="n">
        <v>297</v>
      </c>
      <c r="E14" s="11" t="inlineStr">
        <is>
          <t>3 months</t>
        </is>
      </c>
      <c r="F14" s="11" t="n">
        <v>0</v>
      </c>
      <c r="G14" s="11" t="inlineStr">
        <is>
          <t>Exclusive</t>
        </is>
      </c>
      <c r="H14" s="7" t="inlineStr">
        <is>
          <t>Sales-assisted only.</t>
        </is>
      </c>
    </row>
    <row r="15">
      <c r="A15" s="7" t="inlineStr">
        <is>
          <t>price_business_semiannual</t>
        </is>
      </c>
      <c r="B15" s="7" t="inlineStr">
        <is>
          <t>Business</t>
        </is>
      </c>
      <c r="C15" s="11" t="inlineStr">
        <is>
          <t>Semi-Annual</t>
        </is>
      </c>
      <c r="D15" s="12" t="n">
        <v>541.2</v>
      </c>
      <c r="E15" s="11" t="inlineStr">
        <is>
          <t>6 months</t>
        </is>
      </c>
      <c r="F15" s="11" t="n">
        <v>0</v>
      </c>
      <c r="G15" s="11" t="inlineStr">
        <is>
          <t>Exclusive</t>
        </is>
      </c>
      <c r="H15" s="7" t="inlineStr">
        <is>
          <t>Sales-assisted only.</t>
        </is>
      </c>
    </row>
    <row r="16">
      <c r="A16" s="7" t="inlineStr">
        <is>
          <t>price_business_annual</t>
        </is>
      </c>
      <c r="B16" s="7" t="inlineStr">
        <is>
          <t>Business</t>
        </is>
      </c>
      <c r="C16" s="11" t="inlineStr">
        <is>
          <t>Annual</t>
        </is>
      </c>
      <c r="D16" s="12" t="n">
        <v>924</v>
      </c>
      <c r="E16" s="11" t="inlineStr">
        <is>
          <t>year</t>
        </is>
      </c>
      <c r="F16" s="11" t="n">
        <v>0</v>
      </c>
      <c r="G16" s="11" t="inlineStr">
        <is>
          <t>Exclusive</t>
        </is>
      </c>
      <c r="H16" s="7" t="inlineStr">
        <is>
          <t>Sales-assisted only. White-label + SSO.</t>
        </is>
      </c>
    </row>
    <row r="17">
      <c r="A17" s="7" t="inlineStr">
        <is>
          <t>price_enterprise_custom</t>
        </is>
      </c>
      <c r="B17" s="7" t="inlineStr">
        <is>
          <t>Enterprise</t>
        </is>
      </c>
      <c r="C17" s="11" t="inlineStr">
        <is>
          <t>Custom</t>
        </is>
      </c>
      <c r="D17" s="14" t="inlineStr">
        <is>
          <t>Custom</t>
        </is>
      </c>
      <c r="E17" s="11" t="inlineStr">
        <is>
          <t>year</t>
        </is>
      </c>
      <c r="F17" s="11" t="n">
        <v>0</v>
      </c>
      <c r="G17" s="11" t="inlineStr">
        <is>
          <t>Exclusive</t>
        </is>
      </c>
      <c r="H17" s="7" t="inlineStr">
        <is>
          <t>Quoted per opportunity. Custom DPIA + integrations.</t>
        </is>
      </c>
    </row>
  </sheetData>
  <autoFilter ref="A4:H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90" customWidth="1" min="2" max="2"/>
  </cols>
  <sheetData>
    <row r="1" ht="22" customHeight="1">
      <c r="A1" s="10" t="inlineStr">
        <is>
          <t>Commercial Terms</t>
        </is>
      </c>
    </row>
    <row r="2">
      <c r="A2" s="9" t="inlineStr">
        <is>
          <t>Sales-team reference. All terms apply to standard contracts unless overridden in Enterprise MSA.</t>
        </is>
      </c>
    </row>
    <row r="4">
      <c r="A4" s="5" t="inlineStr">
        <is>
          <t>Topic</t>
        </is>
      </c>
      <c r="B4" s="5" t="inlineStr">
        <is>
          <t>Term</t>
        </is>
      </c>
    </row>
    <row r="5">
      <c r="A5" s="6" t="inlineStr">
        <is>
          <t>Refund Policy (Monthly)</t>
        </is>
      </c>
      <c r="B5" s="7" t="inlineStr">
        <is>
          <t>No refund. Service paid through end of current month.</t>
        </is>
      </c>
    </row>
    <row r="6">
      <c r="A6" s="6" t="inlineStr">
        <is>
          <t>Refund Policy (Quarterly)</t>
        </is>
      </c>
      <c r="B6" s="7" t="inlineStr">
        <is>
          <t>No refund. Committed for 3 months.</t>
        </is>
      </c>
    </row>
    <row r="7">
      <c r="A7" s="6" t="inlineStr">
        <is>
          <t>Refund Policy (Semi-Annual)</t>
        </is>
      </c>
      <c r="B7" s="7" t="inlineStr">
        <is>
          <t>Pro-rata refund if SLA breached 3 or more months in a row.</t>
        </is>
      </c>
    </row>
    <row r="8">
      <c r="A8" s="6" t="inlineStr">
        <is>
          <t>Refund Policy (Annual)</t>
        </is>
      </c>
      <c r="B8" s="7" t="inlineStr">
        <is>
          <t>Pro-rata refund on SLA breach, OR full refund within first 14 days for B2C buyers (EU cooling-off).</t>
        </is>
      </c>
    </row>
    <row r="9">
      <c r="A9" s="6" t="inlineStr">
        <is>
          <t>SLA</t>
        </is>
      </c>
      <c r="B9" s="7" t="inlineStr">
        <is>
          <t>99.9% uptime guarantee on Business and Enterprise tiers.</t>
        </is>
      </c>
    </row>
    <row r="10">
      <c r="A10" s="6" t="inlineStr">
        <is>
          <t>VAT Handling</t>
        </is>
      </c>
      <c r="B10" s="7" t="inlineStr">
        <is>
          <t>Stripe Tax automatically applies EU reverse-charge. B2B with valid VAT-ID exempt at checkout.</t>
        </is>
      </c>
    </row>
    <row r="11">
      <c r="A11" s="6" t="inlineStr">
        <is>
          <t>Currency</t>
        </is>
      </c>
      <c r="B11" s="7" t="inlineStr">
        <is>
          <t>EUR base. Optional USD/GBP via Stripe Adaptive Pricing (post-EU launch).</t>
        </is>
      </c>
    </row>
    <row r="12">
      <c r="A12" s="6" t="inlineStr">
        <is>
          <t>Trial Length</t>
        </is>
      </c>
      <c r="B12" s="7" t="inlineStr">
        <is>
          <t>14 days. No credit card required for Operator and Team. Business trial requires sales call.</t>
        </is>
      </c>
    </row>
    <row r="13">
      <c r="A13" s="6" t="inlineStr">
        <is>
          <t>Cancellation</t>
        </is>
      </c>
      <c r="B13" s="7" t="inlineStr">
        <is>
          <t>End of current term. No auto-renewal if opted out before term-end.</t>
        </is>
      </c>
    </row>
    <row r="14">
      <c r="A14" s="6" t="inlineStr">
        <is>
          <t>Data Export</t>
        </is>
      </c>
      <c r="B14" s="7" t="inlineStr">
        <is>
          <t>JSON and CSV export available for 90 days after cancellation. Earlier deletion on written request.</t>
        </is>
      </c>
    </row>
    <row r="15">
      <c r="A15" s="6" t="inlineStr">
        <is>
          <t>Grandfathered Pricing</t>
        </is>
      </c>
      <c r="B15" s="7" t="inlineStr">
        <is>
          <t>Annual buyers locked at signup rate. If list prices increase, grandfathered rate continues on renewal.</t>
        </is>
      </c>
    </row>
    <row r="16">
      <c r="A16" s="6" t="inlineStr">
        <is>
          <t>B2B vs B2C</t>
        </is>
      </c>
      <c r="B16" s="7" t="inlineStr">
        <is>
          <t>EU cooling-off applies to B2C natural persons. B2B legal entities waive via welcome wizard checkbox at signup.</t>
        </is>
      </c>
    </row>
    <row r="17">
      <c r="A17" s="6" t="inlineStr">
        <is>
          <t>GDPR DPA</t>
        </is>
      </c>
      <c r="B17" s="7" t="inlineStr">
        <is>
          <t>Self-serve download on signup (Operator, Team). Counter-signed on Business+. Custom RoPA on Enterprise.</t>
        </is>
      </c>
    </row>
    <row r="18">
      <c r="A18" s="6" t="inlineStr">
        <is>
          <t>Data Residency</t>
        </is>
      </c>
      <c r="B18" s="7" t="inlineStr">
        <is>
          <t>EU-hosted (Frankfurt and Amsterdam regions). No US data residency option.</t>
        </is>
      </c>
    </row>
    <row r="19">
      <c r="A19" s="6" t="inlineStr">
        <is>
          <t>Sub-processors</t>
        </is>
      </c>
      <c r="B19" s="7" t="inlineStr">
        <is>
          <t>Published list with notification 30 days prior to any new sub-processor.</t>
        </is>
      </c>
    </row>
    <row r="20">
      <c r="A20" s="6" t="inlineStr">
        <is>
          <t>Acceptable Use</t>
        </is>
      </c>
      <c r="B20" s="7" t="inlineStr">
        <is>
          <t>Standard SaaS AUP. No automated mass-data scraping or competitor reverse-engineering.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2026-05-14T11:34:09Z</dcterms:created>
  <dcterms:modified xmlns:dcterms="http://purl.org/dc/terms/" xmlns:xsi="http://www.w3.org/2001/XMLSchema-instance" xsi:type="dcterms:W3CDTF">2026-05-14T11:34:09Z</dcterms:modified>
</cp:coreProperties>
</file>